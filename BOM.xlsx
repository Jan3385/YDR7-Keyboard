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onza\OneDrive\Plocha\YDR7-Keyboard\"/>
    </mc:Choice>
  </mc:AlternateContent>
  <xr:revisionPtr revIDLastSave="0" documentId="13_ncr:1_{96E212AF-E316-4C11-979B-04F04A41E5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3" i="1"/>
  <c r="G2" i="1"/>
  <c r="F7" i="1"/>
  <c r="F3" i="1"/>
  <c r="F4" i="1"/>
  <c r="F5" i="1"/>
  <c r="F6" i="1"/>
  <c r="F8" i="1"/>
  <c r="F9" i="1"/>
  <c r="G9" i="1" s="1"/>
  <c r="F10" i="1"/>
  <c r="F11" i="1"/>
  <c r="F12" i="1"/>
  <c r="F13" i="1"/>
  <c r="F14" i="1"/>
  <c r="F15" i="1"/>
  <c r="F2" i="1"/>
  <c r="G10" i="1" l="1"/>
  <c r="G11" i="1" s="1"/>
  <c r="G12" i="1" s="1"/>
  <c r="G13" i="1" s="1"/>
  <c r="G14" i="1" s="1"/>
  <c r="G15" i="1" s="1"/>
</calcChain>
</file>

<file path=xl/sharedStrings.xml><?xml version="1.0" encoding="utf-8"?>
<sst xmlns="http://schemas.openxmlformats.org/spreadsheetml/2006/main" count="49" uniqueCount="49">
  <si>
    <t>Product name</t>
  </si>
  <si>
    <t>Product description</t>
  </si>
  <si>
    <t>Product link</t>
  </si>
  <si>
    <t>Product unit cost inc. Tax (€)</t>
  </si>
  <si>
    <t>Product amount</t>
  </si>
  <si>
    <t>Product total cost (€)</t>
  </si>
  <si>
    <t>Running total (€ with tax and shipping)</t>
  </si>
  <si>
    <t>YD-RP2040</t>
  </si>
  <si>
    <t>74AHCT125DR</t>
  </si>
  <si>
    <t>100nF 0805 Ceramic Capacitor (&gt;= 6.3V)</t>
  </si>
  <si>
    <t>10kΩ 0805 Resistor</t>
  </si>
  <si>
    <t>1N4148W Diode</t>
  </si>
  <si>
    <t>Gateron Switch G Pro 3.0</t>
  </si>
  <si>
    <t>1.5 Inch OLED Display 128x128 I2C</t>
  </si>
  <si>
    <t>Keycap set</t>
  </si>
  <si>
    <t>M3x8 screws</t>
  </si>
  <si>
    <t>Hot melt inserts MxL4xOD4.2</t>
  </si>
  <si>
    <t>PCB</t>
  </si>
  <si>
    <t>RPI pico-like microcontroller board</t>
  </si>
  <si>
    <t>Logic level shifter IO</t>
  </si>
  <si>
    <t>Decoupling capacitor</t>
  </si>
  <si>
    <t>Pull-up resistor</t>
  </si>
  <si>
    <t>Keyboard matrix diode</t>
  </si>
  <si>
    <t>PCB sockets for switches</t>
  </si>
  <si>
    <t>Mechanical keyboard switches</t>
  </si>
  <si>
    <t>OLED Screen</t>
  </si>
  <si>
    <t>Backlight LEDs</t>
  </si>
  <si>
    <t>set of keycaps for keyboard</t>
  </si>
  <si>
    <t>screws for PCB and case assembly</t>
  </si>
  <si>
    <t>inserts for case assembly</t>
  </si>
  <si>
    <t>anti-slip feet for case</t>
  </si>
  <si>
    <t>w/o assembly (estimate)</t>
  </si>
  <si>
    <t>https://www.aliexpress.com/item/1005006152339711.html</t>
  </si>
  <si>
    <t>https://www.aliexpress.com/item/1005010022053816.html</t>
  </si>
  <si>
    <t>https://www.aliexpress.com/item/1005007470747384.html</t>
  </si>
  <si>
    <t>https://www.aliexpress.com/item/1005009805187579.html</t>
  </si>
  <si>
    <t>https://www.aliexpress.com/item/4000685043735.html</t>
  </si>
  <si>
    <t>https://www.aliexpress.com/item/1005009594313632.html</t>
  </si>
  <si>
    <t>https://kurokeeb.com/products/gateron-switch-g-pro-3-0</t>
  </si>
  <si>
    <t>https://www.aliexpress.com/item/1005007996240625.html</t>
  </si>
  <si>
    <t>https://www.aliexpress.com/item/1005008585550992.html</t>
  </si>
  <si>
    <t>https://www.aliexpress.com/item/1005006071488810.html</t>
  </si>
  <si>
    <t>https://www.aliexpress.com/item/1005006954839245.html</t>
  </si>
  <si>
    <t>https://www.jlcpcb.com/</t>
  </si>
  <si>
    <t>Silicone feet 12x3mm x4</t>
  </si>
  <si>
    <t>Kailh Hot-Swap Sockets for Gateron x103</t>
  </si>
  <si>
    <t>SK6812 Mini RGB LED x200</t>
  </si>
  <si>
    <t>https://www.aliexpress.com/item/1005007696173500.html</t>
  </si>
  <si>
    <t>https://www.aliexpress.com/item/1005009409829497.html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</si>
</sst>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8" formatCode="_-* #,##0.00\ [$€-1]_-;\-* #,##0.00\ [$€-1]_-;_-* &quot;-&quot;??\ [$€-1]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Font="1"/>
    <xf numFmtId="168" fontId="0" fillId="0" borderId="0" xfId="0" applyNumberFormat="1"/>
    <xf numFmtId="168" fontId="1" fillId="0" borderId="0" xfId="1" applyNumberFormat="1" applyFont="1" applyAlignment="1">
      <alignment vertical="center"/>
    </xf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D17" sqref="D17"/>
    </sheetView>
  </sheetViews>
  <sheetFormatPr defaultRowHeight="15" x14ac:dyDescent="0.25"/>
  <cols>
    <col min="1" max="1" width="44.7109375" customWidth="1"/>
    <col min="2" max="2" width="41.85546875" customWidth="1"/>
    <col min="3" max="3" width="64.140625" customWidth="1"/>
    <col min="4" max="4" width="25.85546875" customWidth="1"/>
    <col min="5" max="5" width="17" customWidth="1"/>
    <col min="6" max="6" width="19.5703125" customWidth="1"/>
    <col min="7" max="7" width="43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18</v>
      </c>
      <c r="C2" s="1" t="s">
        <v>32</v>
      </c>
      <c r="D2" s="4">
        <v>2.99</v>
      </c>
      <c r="E2">
        <v>1</v>
      </c>
      <c r="F2" s="3">
        <f>E2*D2</f>
        <v>2.99</v>
      </c>
      <c r="G2" s="3">
        <f>F2</f>
        <v>2.99</v>
      </c>
    </row>
    <row r="3" spans="1:7" x14ac:dyDescent="0.25">
      <c r="A3" s="1" t="s">
        <v>8</v>
      </c>
      <c r="B3" s="1" t="s">
        <v>19</v>
      </c>
      <c r="C3" s="1" t="s">
        <v>33</v>
      </c>
      <c r="D3" s="3">
        <v>3.01</v>
      </c>
      <c r="E3">
        <v>1</v>
      </c>
      <c r="F3" s="3">
        <f t="shared" ref="F3:F15" si="0">E3*D3</f>
        <v>3.01</v>
      </c>
      <c r="G3" s="3">
        <f>F3+G2</f>
        <v>6</v>
      </c>
    </row>
    <row r="4" spans="1:7" x14ac:dyDescent="0.25">
      <c r="A4" s="1" t="s">
        <v>9</v>
      </c>
      <c r="B4" s="1" t="s">
        <v>20</v>
      </c>
      <c r="C4" s="1" t="s">
        <v>34</v>
      </c>
      <c r="D4" s="3">
        <v>1.7299999999999999E-2</v>
      </c>
      <c r="E4">
        <v>105</v>
      </c>
      <c r="F4" s="3">
        <f t="shared" si="0"/>
        <v>1.8165</v>
      </c>
      <c r="G4" s="3">
        <f t="shared" ref="G4:G16" si="1">F4+G3</f>
        <v>7.8164999999999996</v>
      </c>
    </row>
    <row r="5" spans="1:7" x14ac:dyDescent="0.25">
      <c r="A5" s="1" t="s">
        <v>10</v>
      </c>
      <c r="B5" s="1" t="s">
        <v>21</v>
      </c>
      <c r="C5" s="1" t="s">
        <v>35</v>
      </c>
      <c r="D5" s="3">
        <v>1.9E-2</v>
      </c>
      <c r="E5">
        <v>2</v>
      </c>
      <c r="F5" s="3">
        <f t="shared" si="0"/>
        <v>3.7999999999999999E-2</v>
      </c>
      <c r="G5" s="3">
        <f t="shared" si="1"/>
        <v>7.8544999999999998</v>
      </c>
    </row>
    <row r="6" spans="1:7" x14ac:dyDescent="0.25">
      <c r="A6" s="1" t="s">
        <v>11</v>
      </c>
      <c r="B6" s="1" t="s">
        <v>22</v>
      </c>
      <c r="C6" s="1" t="s">
        <v>36</v>
      </c>
      <c r="D6" s="3">
        <v>1.72E-2</v>
      </c>
      <c r="E6">
        <v>103</v>
      </c>
      <c r="F6" s="3">
        <f t="shared" si="0"/>
        <v>1.7716000000000001</v>
      </c>
      <c r="G6" s="3">
        <f t="shared" si="1"/>
        <v>9.6260999999999992</v>
      </c>
    </row>
    <row r="7" spans="1:7" x14ac:dyDescent="0.25">
      <c r="A7" s="1" t="s">
        <v>45</v>
      </c>
      <c r="B7" s="1" t="s">
        <v>23</v>
      </c>
      <c r="C7" s="1" t="s">
        <v>37</v>
      </c>
      <c r="D7" s="3">
        <v>8.24</v>
      </c>
      <c r="E7">
        <v>1</v>
      </c>
      <c r="F7" s="3">
        <f t="shared" si="0"/>
        <v>8.24</v>
      </c>
      <c r="G7" s="3">
        <f t="shared" si="1"/>
        <v>17.866099999999999</v>
      </c>
    </row>
    <row r="8" spans="1:7" x14ac:dyDescent="0.25">
      <c r="A8" s="1" t="s">
        <v>12</v>
      </c>
      <c r="B8" s="1" t="s">
        <v>24</v>
      </c>
      <c r="C8" s="1" t="s">
        <v>38</v>
      </c>
      <c r="D8" s="3">
        <v>0.37</v>
      </c>
      <c r="E8">
        <v>103</v>
      </c>
      <c r="F8" s="3">
        <f t="shared" si="0"/>
        <v>38.11</v>
      </c>
      <c r="G8" s="3">
        <f t="shared" si="1"/>
        <v>55.976100000000002</v>
      </c>
    </row>
    <row r="9" spans="1:7" x14ac:dyDescent="0.25">
      <c r="A9" s="1" t="s">
        <v>13</v>
      </c>
      <c r="B9" s="1" t="s">
        <v>25</v>
      </c>
      <c r="C9" s="1" t="s">
        <v>48</v>
      </c>
      <c r="D9" s="3">
        <v>4.25</v>
      </c>
      <c r="E9">
        <v>1</v>
      </c>
      <c r="F9" s="3">
        <f t="shared" si="0"/>
        <v>4.25</v>
      </c>
      <c r="G9" s="3">
        <f t="shared" si="1"/>
        <v>60.226100000000002</v>
      </c>
    </row>
    <row r="10" spans="1:7" x14ac:dyDescent="0.25">
      <c r="A10" s="1" t="s">
        <v>46</v>
      </c>
      <c r="B10" s="1" t="s">
        <v>26</v>
      </c>
      <c r="C10" s="1" t="s">
        <v>47</v>
      </c>
      <c r="D10" s="3">
        <v>3.38</v>
      </c>
      <c r="E10">
        <v>2</v>
      </c>
      <c r="F10" s="3">
        <f t="shared" si="0"/>
        <v>6.76</v>
      </c>
      <c r="G10" s="3">
        <f t="shared" si="1"/>
        <v>66.986100000000008</v>
      </c>
    </row>
    <row r="11" spans="1:7" x14ac:dyDescent="0.25">
      <c r="A11" s="1" t="s">
        <v>14</v>
      </c>
      <c r="B11" s="1" t="s">
        <v>27</v>
      </c>
      <c r="C11" s="1" t="s">
        <v>39</v>
      </c>
      <c r="D11" s="3">
        <v>16.93</v>
      </c>
      <c r="E11">
        <v>1</v>
      </c>
      <c r="F11" s="3">
        <f t="shared" si="0"/>
        <v>16.93</v>
      </c>
      <c r="G11" s="3">
        <f t="shared" si="1"/>
        <v>83.9161</v>
      </c>
    </row>
    <row r="12" spans="1:7" x14ac:dyDescent="0.25">
      <c r="A12" s="1" t="s">
        <v>15</v>
      </c>
      <c r="B12" s="1" t="s">
        <v>28</v>
      </c>
      <c r="C12" s="1" t="s">
        <v>40</v>
      </c>
      <c r="D12" s="3">
        <v>0.05</v>
      </c>
      <c r="E12">
        <v>8</v>
      </c>
      <c r="F12" s="3">
        <f t="shared" si="0"/>
        <v>0.4</v>
      </c>
      <c r="G12" s="3">
        <f t="shared" si="1"/>
        <v>84.316100000000006</v>
      </c>
    </row>
    <row r="13" spans="1:7" x14ac:dyDescent="0.25">
      <c r="A13" s="1" t="s">
        <v>16</v>
      </c>
      <c r="B13" s="1" t="s">
        <v>29</v>
      </c>
      <c r="C13" s="1" t="s">
        <v>41</v>
      </c>
      <c r="D13" s="3">
        <v>0.11</v>
      </c>
      <c r="E13">
        <v>8</v>
      </c>
      <c r="F13" s="3">
        <f t="shared" si="0"/>
        <v>0.88</v>
      </c>
      <c r="G13" s="3">
        <f t="shared" si="1"/>
        <v>85.196100000000001</v>
      </c>
    </row>
    <row r="14" spans="1:7" x14ac:dyDescent="0.25">
      <c r="A14" s="1" t="s">
        <v>44</v>
      </c>
      <c r="B14" s="1" t="s">
        <v>30</v>
      </c>
      <c r="C14" s="1" t="s">
        <v>42</v>
      </c>
      <c r="D14" s="3">
        <v>0.72</v>
      </c>
      <c r="E14">
        <v>1</v>
      </c>
      <c r="F14" s="3">
        <f t="shared" si="0"/>
        <v>0.72</v>
      </c>
      <c r="G14" s="3">
        <f t="shared" si="1"/>
        <v>85.9161</v>
      </c>
    </row>
    <row r="15" spans="1:7" x14ac:dyDescent="0.25">
      <c r="A15" s="1" t="s">
        <v>17</v>
      </c>
      <c r="B15" s="1" t="s">
        <v>31</v>
      </c>
      <c r="C15" s="1" t="s">
        <v>43</v>
      </c>
      <c r="D15" s="3">
        <v>40</v>
      </c>
      <c r="E15">
        <v>1</v>
      </c>
      <c r="F15" s="3">
        <f t="shared" si="0"/>
        <v>40</v>
      </c>
      <c r="G15" s="3">
        <f t="shared" si="1"/>
        <v>125.9161</v>
      </c>
    </row>
    <row r="16" spans="1:7" x14ac:dyDescent="0.25">
      <c r="A16" s="2"/>
      <c r="B16" s="2"/>
      <c r="G16" s="3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  <row r="20" spans="1:2" x14ac:dyDescent="0.25">
      <c r="A20" s="2"/>
      <c r="B20" s="2"/>
    </row>
    <row r="21" spans="1:2" x14ac:dyDescent="0.25">
      <c r="A21" s="2"/>
      <c r="B21" s="2"/>
    </row>
    <row r="22" spans="1:2" x14ac:dyDescent="0.25">
      <c r="A22" s="2"/>
      <c r="B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Richter</dc:creator>
  <cp:lastModifiedBy>Jan Richter</cp:lastModifiedBy>
  <dcterms:created xsi:type="dcterms:W3CDTF">2015-06-05T18:19:34Z</dcterms:created>
  <dcterms:modified xsi:type="dcterms:W3CDTF">2025-11-07T18:13:22Z</dcterms:modified>
</cp:coreProperties>
</file>